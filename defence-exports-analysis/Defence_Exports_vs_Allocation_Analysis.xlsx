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848" windowHeight="8808"/>
  </bookViews>
  <sheets>
    <sheet name="RS_Session_257_AU_16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<sst xmlns="http://schemas.openxmlformats.org/spreadsheetml/2006/main" count="28" uniqueCount="21">
  <si>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Year</t>
  </si>
  <si>
    <t>Total Export Value</t>
  </si>
  <si>
    <t>Defence Allocation/Expenditure - BE</t>
  </si>
  <si>
    <t xml:space="preserve">Defence Allocation/Expenditure - Actuals </t>
  </si>
  <si>
    <t>GDP</t>
  </si>
  <si>
    <t>Percentage of GDP - BE</t>
  </si>
  <si>
    <t>Percentage of GDP - Actuals</t>
  </si>
  <si>
    <t>Defence Exports vs Allocation (2018-19 to 2020-21)</t>
  </si>
  <si>
    <t>Export value</t>
  </si>
  <si>
    <t>Defence allocation</t>
  </si>
  <si>
    <t>Export % of Allocation</t>
  </si>
  <si>
    <t>2018-19</t>
  </si>
  <si>
    <t>2017-18</t>
  </si>
  <si>
    <t>2019-20</t>
  </si>
  <si>
    <t>2020-21</t>
  </si>
  <si>
    <t>2,03,40,000(PE)</t>
  </si>
  <si>
    <t>2021-22</t>
  </si>
  <si>
    <t xml:space="preserve">3,38,630.9* </t>
  </si>
  <si>
    <t>1,94,81,975(RE)</t>
  </si>
  <si>
    <t>NA</t>
  </si>
  <si>
    <t>2022-23 (till June, 2022)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</si>
</sst>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Defence Exports vs Allocation (2018-19 to 2020-21)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RS_Session_257_AU_1650!$K$1</c:f>
              <c:strCache>
                <c:ptCount val="1"/>
                <c:pt idx="0">
                  <c:v>Export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RS_Session_257_AU_1650!$J$2:$J$4</c:f>
              <c:strCache>
                <c:ptCount val="3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</c:strCache>
            </c:strRef>
          </c:cat>
          <c:val>
            <c:numRef>
              <c:f>RS_Session_257_AU_1650!$K$2:$K$4</c:f>
              <c:numCache>
                <c:formatCode>General</c:formatCode>
                <c:ptCount val="3"/>
                <c:pt idx="0">
                  <c:v>10746</c:v>
                </c:pt>
                <c:pt idx="1">
                  <c:v>9116</c:v>
                </c:pt>
                <c:pt idx="2">
                  <c:v>8435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RS_Session_257_AU_1650!$L$1</c:f>
              <c:strCache>
                <c:ptCount val="1"/>
                <c:pt idx="0">
                  <c:v>Defence allocation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RS_Session_257_AU_1650!$J$2:$J$4</c:f>
              <c:strCache>
                <c:ptCount val="3"/>
                <c:pt idx="0">
                  <c:v>2018-19</c:v>
                </c:pt>
                <c:pt idx="1">
                  <c:v>2019-20</c:v>
                </c:pt>
                <c:pt idx="2">
                  <c:v>2020-21</c:v>
                </c:pt>
              </c:strCache>
            </c:strRef>
          </c:cat>
          <c:val>
            <c:numRef>
              <c:f>RS_Session_257_AU_1650!$L$2:$L$4</c:f>
              <c:numCache>
                <c:formatCode>General</c:formatCode>
                <c:ptCount val="3"/>
                <c:pt idx="0">
                  <c:v>403457</c:v>
                </c:pt>
                <c:pt idx="1">
                  <c:v>452996</c:v>
                </c:pt>
                <c:pt idx="2">
                  <c:v>338630.9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42678"/>
        <c:axId val="324643380"/>
      </c:lineChart>
      <c:catAx>
        <c:axId val="572426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4643380"/>
        <c:crosses val="autoZero"/>
        <c:auto val="1"/>
        <c:lblAlgn val="ctr"/>
        <c:lblOffset val="100"/>
        <c:noMultiLvlLbl val="0"/>
      </c:catAx>
      <c:valAx>
        <c:axId val="3246433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426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411480</xdr:colOff>
      <xdr:row>6</xdr:row>
      <xdr:rowOff>109220</xdr:rowOff>
    </xdr:from>
    <xdr:to>
      <xdr:col>9</xdr:col>
      <xdr:colOff>246380</xdr:colOff>
      <xdr:row>21</xdr:row>
      <xdr:rowOff>109220</xdr:rowOff>
    </xdr:to>
    <xdr:graphicFrame>
      <xdr:nvGraphicFramePr>
        <xdr:cNvPr id="5" name="Chart 4"/>
        <xdr:cNvGraphicFramePr/>
      </xdr:nvGraphicFramePr>
      <xdr:xfrm>
        <a:off x="8686800" y="1206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zoomScaleSheetLayoutView="60" topLeftCell="F1" workbookViewId="0">
      <selection activeCell="O9" sqref="O9"/>
    </sheetView>
  </sheetViews>
  <sheetFormatPr defaultColWidth="10" defaultRowHeight="14.4" outlineLevelRow="5"/>
  <cols>
    <col min="1" max="1" width="22.2222222222222" customWidth="1"/>
    <col min="2" max="2" width="17.5555555555556" customWidth="1"/>
    <col min="3" max="3" width="8.33333333333333" customWidth="1"/>
    <col min="4" max="4" width="33.8888888888889" customWidth="1"/>
    <col min="5" max="5" width="38.6666666666667" customWidth="1"/>
    <col min="6" max="6" width="14.7777777777778" customWidth="1"/>
    <col min="7" max="7" width="21.8888888888889" customWidth="1"/>
    <col min="8" max="8" width="26.1111111111111" customWidth="1"/>
    <col min="10" max="10" width="47.5555555555556" customWidth="1"/>
    <col min="11" max="11" width="12" customWidth="1"/>
    <col min="12" max="12" width="17.8888888888889" customWidth="1"/>
    <col min="13" max="13" width="21" customWidth="1"/>
  </cols>
  <sheetData>
    <row r="1" spans="1:13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 t="s">
        <v>11</v>
      </c>
      <c r="B2">
        <v>10746</v>
      </c>
      <c r="C2" t="s">
        <v>12</v>
      </c>
      <c r="D2">
        <v>359854.12</v>
      </c>
      <c r="E2">
        <v>359854</v>
      </c>
      <c r="F2">
        <v>17100000</v>
      </c>
      <c r="G2">
        <v>2.1</v>
      </c>
      <c r="H2">
        <v>2.1</v>
      </c>
      <c r="J2" t="s">
        <v>11</v>
      </c>
      <c r="K2">
        <v>10746</v>
      </c>
      <c r="L2">
        <v>403457</v>
      </c>
      <c r="M2" s="1">
        <f>K2/L2*100</f>
        <v>2.66348086661032</v>
      </c>
    </row>
    <row r="3" spans="1:13">
      <c r="A3" t="s">
        <v>13</v>
      </c>
      <c r="B3">
        <v>9116</v>
      </c>
      <c r="C3" t="s">
        <v>11</v>
      </c>
      <c r="D3">
        <v>404364.71</v>
      </c>
      <c r="E3">
        <v>403457</v>
      </c>
      <c r="F3">
        <v>18970000</v>
      </c>
      <c r="G3">
        <v>2.13</v>
      </c>
      <c r="H3">
        <v>2.13</v>
      </c>
      <c r="J3" t="s">
        <v>13</v>
      </c>
      <c r="K3">
        <v>9116</v>
      </c>
      <c r="L3">
        <v>452996</v>
      </c>
      <c r="M3" s="1">
        <f>K3/L3*100</f>
        <v>2.01237980026314</v>
      </c>
    </row>
    <row r="4" spans="1:13">
      <c r="A4" t="s">
        <v>14</v>
      </c>
      <c r="B4">
        <v>8435</v>
      </c>
      <c r="C4" t="s">
        <v>13</v>
      </c>
      <c r="D4">
        <v>431010.79</v>
      </c>
      <c r="E4">
        <v>452996</v>
      </c>
      <c r="F4" t="s">
        <v>15</v>
      </c>
      <c r="G4">
        <v>2.12</v>
      </c>
      <c r="H4">
        <v>2.23</v>
      </c>
      <c r="J4" t="s">
        <v>14</v>
      </c>
      <c r="K4">
        <v>8435</v>
      </c>
      <c r="L4">
        <v>338630.9</v>
      </c>
      <c r="M4" s="1">
        <f>K4/L4*100</f>
        <v>2.49091267217493</v>
      </c>
    </row>
    <row r="5" spans="1:13">
      <c r="A5" t="s">
        <v>16</v>
      </c>
      <c r="B5">
        <v>12815</v>
      </c>
      <c r="C5" t="s">
        <v>14</v>
      </c>
      <c r="D5">
        <v>471378</v>
      </c>
      <c r="E5" t="s">
        <v>17</v>
      </c>
      <c r="F5" t="s">
        <v>18</v>
      </c>
      <c r="G5">
        <v>2.42</v>
      </c>
      <c r="H5" t="s">
        <v>19</v>
      </c>
    </row>
    <row r="6" spans="1:13">
      <c r="A6" t="s">
        <v>20</v>
      </c>
      <c r="B6">
        <v>1387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RS_Session_257_AU_1650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Purbi Biswal</cp:lastModifiedBy>
  <dcterms:created xsi:type="dcterms:W3CDTF">2026-08-22T07:46:43Z</dcterms:created>
  <dcterms:modified xsi:type="dcterms:W3CDTF">2026-08-22T08:11:35Z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BA25FEED741A4DAD9C8451BB556D93B2_13</vt:lpwstr>
  </property>
</Properties>
</file>